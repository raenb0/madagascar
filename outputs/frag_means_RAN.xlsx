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enb\Documents\GitHub\madagascar\outputs\"/>
    </mc:Choice>
  </mc:AlternateContent>
  <xr:revisionPtr revIDLastSave="0" documentId="13_ncr:40009_{4D2BF780-7572-458E-A9CE-588C74FEF15B}" xr6:coauthVersionLast="47" xr6:coauthVersionMax="47" xr10:uidLastSave="{00000000-0000-0000-0000-000000000000}"/>
  <bookViews>
    <workbookView xWindow="28680" yWindow="-1035" windowWidth="29040" windowHeight="15840"/>
  </bookViews>
  <sheets>
    <sheet name="frag_means" sheetId="1" r:id="rId1"/>
  </sheets>
  <calcPr calcId="0"/>
</workbook>
</file>

<file path=xl/calcChain.xml><?xml version="1.0" encoding="utf-8"?>
<calcChain xmlns="http://schemas.openxmlformats.org/spreadsheetml/2006/main">
  <c r="H6" i="1" l="1"/>
  <c r="H5" i="1"/>
  <c r="H4" i="1"/>
  <c r="H3" i="1"/>
  <c r="G6" i="1"/>
  <c r="G5" i="1"/>
  <c r="G4" i="1"/>
  <c r="G3" i="1"/>
  <c r="F4" i="1"/>
  <c r="F5" i="1"/>
  <c r="F6" i="1"/>
  <c r="F3" i="1"/>
</calcChain>
</file>

<file path=xl/sharedStrings.xml><?xml version="1.0" encoding="utf-8"?>
<sst xmlns="http://schemas.openxmlformats.org/spreadsheetml/2006/main" count="7" uniqueCount="7">
  <si>
    <t>year</t>
  </si>
  <si>
    <t>frag_pa</t>
  </si>
  <si>
    <t>frag_cfm</t>
  </si>
  <si>
    <t>frag_national</t>
  </si>
  <si>
    <t>frag_pa_change</t>
  </si>
  <si>
    <t>frag_cfm_change</t>
  </si>
  <si>
    <t>frag_national_change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</si>
</sst>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Change in intactness between time</a:t>
            </a:r>
            <a:r>
              <a:rPr lang="en-US" baseline="0"/>
              <a:t> periods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frag_means!$F$1</c:f>
              <c:strCache>
                <c:ptCount val="1"/>
                <c:pt idx="0">
                  <c:v>frag_pa_change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frag_means!$B$3:$B$6</c:f>
              <c:numCache>
                <c:formatCode>General</c:formatCode>
                <c:ptCount val="4"/>
                <c:pt idx="0">
                  <c:v>2000</c:v>
                </c:pt>
                <c:pt idx="1">
                  <c:v>2005</c:v>
                </c:pt>
                <c:pt idx="2">
                  <c:v>2010</c:v>
                </c:pt>
                <c:pt idx="3">
                  <c:v>2014</c:v>
                </c:pt>
              </c:numCache>
            </c:numRef>
          </c:cat>
          <c:val>
            <c:numRef>
              <c:f>frag_means!$F$3:$F$6</c:f>
              <c:numCache>
                <c:formatCode>General</c:formatCode>
                <c:ptCount val="4"/>
                <c:pt idx="0">
                  <c:v>0.85924678378640351</c:v>
                </c:pt>
                <c:pt idx="1">
                  <c:v>0.42889171176479124</c:v>
                </c:pt>
                <c:pt idx="2">
                  <c:v>0.74915974934900476</c:v>
                </c:pt>
                <c:pt idx="3">
                  <c:v>0.60545633104109697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67-4377-B0E9-3B006FFB818A}"/>
            </c:ext>
          </c:extLst>
        </c:ser>
        <c:ser>
          <c:idx val="0"/>
          <c:order val="1"/>
          <c:tx>
            <c:strRef>
              <c:f>frag_means!$G$1</c:f>
              <c:strCache>
                <c:ptCount val="1"/>
                <c:pt idx="0">
                  <c:v>frag_cfm_change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frag_means!$G$3:$G$6</c:f>
              <c:numCache>
                <c:formatCode>General</c:formatCode>
                <c:ptCount val="4"/>
                <c:pt idx="0">
                  <c:v>2.369311079135997</c:v>
                </c:pt>
                <c:pt idx="1">
                  <c:v>0.72523876744730131</c:v>
                </c:pt>
                <c:pt idx="2">
                  <c:v>1.5471719826123973</c:v>
                </c:pt>
                <c:pt idx="3">
                  <c:v>2.2374773157236021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667-4377-B0E9-3B006FFB818A}"/>
            </c:ext>
          </c:extLst>
        </c:ser>
        <c:ser>
          <c:idx val="2"/>
          <c:order val="2"/>
          <c:tx>
            <c:strRef>
              <c:f>frag_means!$H$1</c:f>
              <c:strCache>
                <c:ptCount val="1"/>
                <c:pt idx="0">
                  <c:v>frag_national_change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frag_means!$H$3:$H$6</c:f>
              <c:numCache>
                <c:formatCode>General</c:formatCode>
                <c:ptCount val="4"/>
                <c:pt idx="0">
                  <c:v>1.0868217360460051</c:v>
                </c:pt>
                <c:pt idx="1">
                  <c:v>0.95097788725439614</c:v>
                </c:pt>
                <c:pt idx="2">
                  <c:v>1.5011544168307012</c:v>
                </c:pt>
                <c:pt idx="3">
                  <c:v>1.8027576977521989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667-4377-B0E9-3B006FFB81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9419311"/>
        <c:axId val="919420975"/>
      </c:lineChart>
      <c:catAx>
        <c:axId val="919419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420975"/>
        <c:crosses val="autoZero"/>
        <c:auto val="1"/>
        <c:lblAlgn val="ctr"/>
        <c:lblOffset val="100"/>
        <c:noMultiLvlLbl val="0"/>
      </c:catAx>
      <c:valAx>
        <c:axId val="91942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419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Forest</a:t>
            </a:r>
            <a:r>
              <a:rPr lang="en-US" baseline="0"/>
              <a:t> intactness (%)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frag_means!$C$1</c:f>
              <c:strCache>
                <c:ptCount val="1"/>
                <c:pt idx="0">
                  <c:v>frag_pa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frag_means!$B$2:$B$6</c:f>
              <c:numCache>
                <c:formatCode>General</c:formatCode>
                <c:ptCount val="5"/>
                <c:pt idx="0">
                  <c:v>1990</c:v>
                </c:pt>
                <c:pt idx="1">
                  <c:v>2000</c:v>
                </c:pt>
                <c:pt idx="2">
                  <c:v>2005</c:v>
                </c:pt>
                <c:pt idx="3">
                  <c:v>2010</c:v>
                </c:pt>
                <c:pt idx="4">
                  <c:v>2014</c:v>
                </c:pt>
              </c:numCache>
            </c:numRef>
          </c:cat>
          <c:val>
            <c:numRef>
              <c:f>frag_means!$C$2:$C$6</c:f>
              <c:numCache>
                <c:formatCode>General</c:formatCode>
                <c:ptCount val="5"/>
                <c:pt idx="0">
                  <c:v>77.725921969943599</c:v>
                </c:pt>
                <c:pt idx="1">
                  <c:v>76.866675186157195</c:v>
                </c:pt>
                <c:pt idx="2">
                  <c:v>76.437783474392404</c:v>
                </c:pt>
                <c:pt idx="3">
                  <c:v>75.688623725043399</c:v>
                </c:pt>
                <c:pt idx="4">
                  <c:v>75.083167394002302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0E-45B0-B76D-7879E502D6BF}"/>
            </c:ext>
          </c:extLst>
        </c:ser>
        <c:ser>
          <c:idx val="2"/>
          <c:order val="1"/>
          <c:tx>
            <c:strRef>
              <c:f>frag_means!$D$1</c:f>
              <c:strCache>
                <c:ptCount val="1"/>
                <c:pt idx="0">
                  <c:v>frag_cfm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frag_means!$B$2:$B$6</c:f>
              <c:numCache>
                <c:formatCode>General</c:formatCode>
                <c:ptCount val="5"/>
                <c:pt idx="0">
                  <c:v>1990</c:v>
                </c:pt>
                <c:pt idx="1">
                  <c:v>2000</c:v>
                </c:pt>
                <c:pt idx="2">
                  <c:v>2005</c:v>
                </c:pt>
                <c:pt idx="3">
                  <c:v>2010</c:v>
                </c:pt>
                <c:pt idx="4">
                  <c:v>2014</c:v>
                </c:pt>
              </c:numCache>
            </c:numRef>
          </c:cat>
          <c:val>
            <c:numRef>
              <c:f>frag_means!$D$2:$D$6</c:f>
              <c:numCache>
                <c:formatCode>General</c:formatCode>
                <c:ptCount val="5"/>
                <c:pt idx="0">
                  <c:v>60.226648205880998</c:v>
                </c:pt>
                <c:pt idx="1">
                  <c:v>57.857337126745001</c:v>
                </c:pt>
                <c:pt idx="2">
                  <c:v>57.1320983592977</c:v>
                </c:pt>
                <c:pt idx="3">
                  <c:v>55.584926376685303</c:v>
                </c:pt>
                <c:pt idx="4">
                  <c:v>53.347449060961701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0E-45B0-B76D-7879E502D6BF}"/>
            </c:ext>
          </c:extLst>
        </c:ser>
        <c:ser>
          <c:idx val="3"/>
          <c:order val="2"/>
          <c:tx>
            <c:strRef>
              <c:f>frag_means!$E$1</c:f>
              <c:strCache>
                <c:ptCount val="1"/>
                <c:pt idx="0">
                  <c:v>frag_national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frag_means!$B$2:$B$6</c:f>
              <c:numCache>
                <c:formatCode>General</c:formatCode>
                <c:ptCount val="5"/>
                <c:pt idx="0">
                  <c:v>1990</c:v>
                </c:pt>
                <c:pt idx="1">
                  <c:v>2000</c:v>
                </c:pt>
                <c:pt idx="2">
                  <c:v>2005</c:v>
                </c:pt>
                <c:pt idx="3">
                  <c:v>2010</c:v>
                </c:pt>
                <c:pt idx="4">
                  <c:v>2014</c:v>
                </c:pt>
              </c:numCache>
            </c:numRef>
          </c:cat>
          <c:val>
            <c:numRef>
              <c:f>frag_means!$E$2:$E$6</c:f>
              <c:numCache>
                <c:formatCode>General</c:formatCode>
                <c:ptCount val="5"/>
                <c:pt idx="0">
                  <c:v>72.695607513893606</c:v>
                </c:pt>
                <c:pt idx="1">
                  <c:v>71.608785777847601</c:v>
                </c:pt>
                <c:pt idx="2">
                  <c:v>70.657807890593205</c:v>
                </c:pt>
                <c:pt idx="3">
                  <c:v>69.156653473762503</c:v>
                </c:pt>
                <c:pt idx="4">
                  <c:v>67.353895776010305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30E-45B0-B76D-7879E502D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2466527"/>
        <c:axId val="922460287"/>
      </c:lineChart>
      <c:catAx>
        <c:axId val="922466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460287"/>
        <c:crosses val="autoZero"/>
        <c:auto val="1"/>
        <c:lblAlgn val="ctr"/>
        <c:lblOffset val="100"/>
        <c:noMultiLvlLbl val="0"/>
      </c:catAx>
      <c:valAx>
        <c:axId val="922460287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466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1095374</xdr:colOff>
      <xdr:row>7</xdr:row>
      <xdr:rowOff>180975</xdr:rowOff>
    </xdr:from>
    <xdr:to>
      <xdr:col>16</xdr:col>
      <xdr:colOff>114299</xdr:colOff>
      <xdr:row>25</xdr:row>
      <xdr:rowOff>14287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6843238-DFBA-4066-805C-C72423E335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323850</xdr:colOff>
      <xdr:row>7</xdr:row>
      <xdr:rowOff>161925</xdr:rowOff>
    </xdr:from>
    <xdr:to>
      <xdr:col>7</xdr:col>
      <xdr:colOff>504825</xdr:colOff>
      <xdr:row>24</xdr:row>
      <xdr:rowOff>176212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A61C31C-477E-41FB-BBC8-6D89582EA1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activeCell="L33" sqref="L33"/>
    </sheetView>
  </sheetViews>
  <sheetFormatPr defaultRowHeight="15" x14ac:dyDescent="0.25"/>
  <cols>
    <col min="6" max="6" width="15" bestFit="1" customWidth="1"/>
    <col min="7" max="7" width="16.140625" bestFit="1" customWidth="1"/>
    <col min="8" max="8" width="20.28515625" bestFit="1" customWidth="1"/>
  </cols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1</v>
      </c>
      <c r="B2">
        <v>1990</v>
      </c>
      <c r="C2">
        <v>77.725921969943599</v>
      </c>
      <c r="D2">
        <v>60.226648205880998</v>
      </c>
      <c r="E2">
        <v>72.695607513893606</v>
      </c>
    </row>
    <row r="3" spans="1:8" x14ac:dyDescent="0.25">
      <c r="A3">
        <v>2</v>
      </c>
      <c r="B3">
        <v>2000</v>
      </c>
      <c r="C3">
        <v>76.866675186157195</v>
      </c>
      <c r="D3">
        <v>57.857337126745001</v>
      </c>
      <c r="E3">
        <v>71.608785777847601</v>
      </c>
      <c r="F3">
        <f>C2-C3</f>
        <v>0.85924678378640351</v>
      </c>
      <c r="G3">
        <f>D2-D3</f>
        <v>2.369311079135997</v>
      </c>
      <c r="H3">
        <f>E2-E3</f>
        <v>1.0868217360460051</v>
      </c>
    </row>
    <row r="4" spans="1:8" x14ac:dyDescent="0.25">
      <c r="A4">
        <v>3</v>
      </c>
      <c r="B4">
        <v>2005</v>
      </c>
      <c r="C4">
        <v>76.437783474392404</v>
      </c>
      <c r="D4">
        <v>57.1320983592977</v>
      </c>
      <c r="E4">
        <v>70.657807890593205</v>
      </c>
      <c r="F4">
        <f>C3-C4</f>
        <v>0.42889171176479124</v>
      </c>
      <c r="G4">
        <f>D3-D4</f>
        <v>0.72523876744730131</v>
      </c>
      <c r="H4">
        <f>E3-E4</f>
        <v>0.95097788725439614</v>
      </c>
    </row>
    <row r="5" spans="1:8" x14ac:dyDescent="0.25">
      <c r="A5">
        <v>4</v>
      </c>
      <c r="B5">
        <v>2010</v>
      </c>
      <c r="C5">
        <v>75.688623725043399</v>
      </c>
      <c r="D5">
        <v>55.584926376685303</v>
      </c>
      <c r="E5">
        <v>69.156653473762503</v>
      </c>
      <c r="F5">
        <f>C4-C5</f>
        <v>0.74915974934900476</v>
      </c>
      <c r="G5">
        <f>D4-D5</f>
        <v>1.5471719826123973</v>
      </c>
      <c r="H5">
        <f t="shared" ref="H5" si="0">E4-E5</f>
        <v>1.5011544168307012</v>
      </c>
    </row>
    <row r="6" spans="1:8" x14ac:dyDescent="0.25">
      <c r="A6">
        <v>5</v>
      </c>
      <c r="B6">
        <v>2014</v>
      </c>
      <c r="C6">
        <v>75.083167394002302</v>
      </c>
      <c r="D6">
        <v>53.347449060961701</v>
      </c>
      <c r="E6">
        <v>67.353895776010305</v>
      </c>
      <c r="F6">
        <f>C5-C6</f>
        <v>0.60545633104109697</v>
      </c>
      <c r="G6">
        <f>D5-D6</f>
        <v>2.2374773157236021</v>
      </c>
      <c r="H6">
        <f t="shared" ref="H6" si="1">E5-E6</f>
        <v>1.8027576977521989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frag_means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 N</cp:lastModifiedBy>
  <dcterms:created xsi:type="dcterms:W3CDTF">2021-07-13T15:32:57Z</dcterms:created>
  <dcterms:modified xsi:type="dcterms:W3CDTF">2021-07-13T15:43:19Z</dcterms:modified>
</cp:coreProperties>
</file>