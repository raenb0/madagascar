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enb\Documents\GitHub\madagascar\outputs\"/>
    </mc:Choice>
  </mc:AlternateContent>
  <xr:revisionPtr revIDLastSave="0" documentId="13_ncr:1_{C8EA610B-2FCE-4DE4-879D-A64705F645B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rag_stats_90m" sheetId="1" r:id="rId1"/>
    <sheet name="reorganized" sheetId="2" r:id="rId2"/>
  </sheets>
  <calcPr calcId="0"/>
</workbook>
</file>

<file path=xl/sharedStrings.xml><?xml version="1.0" encoding="utf-8"?>
<sst xmlns="http://schemas.openxmlformats.org/spreadsheetml/2006/main" count="20" uniqueCount="16">
  <si>
    <t>frag_means_90m</t>
  </si>
  <si>
    <t>frag_sds_90m</t>
  </si>
  <si>
    <t>cfm_frag_means_90m</t>
  </si>
  <si>
    <t>cfm_frag_sds_90m</t>
  </si>
  <si>
    <t>pa_frag_means_90m</t>
  </si>
  <si>
    <t>pa_frag_sds_90m</t>
  </si>
  <si>
    <t>National mean</t>
  </si>
  <si>
    <t>National SD</t>
  </si>
  <si>
    <t>CFM mean</t>
  </si>
  <si>
    <t>CFM SD</t>
  </si>
  <si>
    <t>PA Mean</t>
  </si>
  <si>
    <t>PA SD</t>
  </si>
  <si>
    <t>Year</t>
  </si>
  <si>
    <t>PA intactness</t>
  </si>
  <si>
    <t>CFM intactness</t>
  </si>
  <si>
    <t>National intactness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</si>
</sst>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6.0185185185185182E-2"/>
          <c:w val="0.71405751700392295"/>
          <c:h val="0.862535102843323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reorganized!$B$1</c:f>
              <c:strCache>
                <c:ptCount val="1"/>
                <c:pt idx="0">
                  <c:v>National intactness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reorganized!$E$2:$E$4</c:f>
                <c:numCache>
                  <c:formatCode>General</c:formatCode>
                  <c:ptCount val="3"/>
                  <c:pt idx="0">
                    <c:v>30.599860180381501</c:v>
                  </c:pt>
                  <c:pt idx="1">
                    <c:v>30.676056084584001</c:v>
                  </c:pt>
                  <c:pt idx="2">
                    <c:v>30.658451814519299</c:v>
                  </c:pt>
                </c:numCache>
              </c:numRef>
            </c:plus>
            <c:minus>
              <c:numRef>
                <c:f>reorganized!$E$2:$E$4</c:f>
                <c:numCache>
                  <c:formatCode>General</c:formatCode>
                  <c:ptCount val="3"/>
                  <c:pt idx="0">
                    <c:v>30.599860180381501</c:v>
                  </c:pt>
                  <c:pt idx="1">
                    <c:v>30.676056084584001</c:v>
                  </c:pt>
                  <c:pt idx="2">
                    <c:v>30.658451814519299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reorganized!$A$2:$A$4</c:f>
              <c:numCache>
                <c:formatCode>General</c:formatCode>
                <c:ptCount val="3"/>
                <c:pt idx="0">
                  <c:v>2005</c:v>
                </c:pt>
                <c:pt idx="1">
                  <c:v>2010</c:v>
                </c:pt>
                <c:pt idx="2">
                  <c:v>2014</c:v>
                </c:pt>
              </c:numCache>
            </c:numRef>
          </c:cat>
          <c:val>
            <c:numRef>
              <c:f>reorganized!$B$2:$B$4</c:f>
              <c:numCache>
                <c:formatCode>General</c:formatCode>
                <c:ptCount val="3"/>
                <c:pt idx="0">
                  <c:v>64.819693069607993</c:v>
                </c:pt>
                <c:pt idx="1">
                  <c:v>62.8706550428412</c:v>
                </c:pt>
                <c:pt idx="2">
                  <c:v>60.617154869126999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5-47A1-B03E-4671CE196AC6}"/>
            </c:ext>
          </c:extLst>
        </c:ser>
        <c:ser>
          <c:idx val="1"/>
          <c:order val="1"/>
          <c:tx>
            <c:strRef>
              <c:f>reorganized!$C$1</c:f>
              <c:strCache>
                <c:ptCount val="1"/>
                <c:pt idx="0">
                  <c:v>CFM intactness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reorganized!$F$2:$F$4</c:f>
                <c:numCache>
                  <c:formatCode>General</c:formatCode>
                  <c:ptCount val="3"/>
                  <c:pt idx="0">
                    <c:v>26.087972027436098</c:v>
                  </c:pt>
                  <c:pt idx="1">
                    <c:v>26.758623442522801</c:v>
                  </c:pt>
                  <c:pt idx="2">
                    <c:v>27.279249385404899</c:v>
                  </c:pt>
                </c:numCache>
              </c:numRef>
            </c:plus>
            <c:minus>
              <c:numRef>
                <c:f>reorganized!$F$2:$F$4</c:f>
                <c:numCache>
                  <c:formatCode>General</c:formatCode>
                  <c:ptCount val="3"/>
                  <c:pt idx="0">
                    <c:v>26.087972027436098</c:v>
                  </c:pt>
                  <c:pt idx="1">
                    <c:v>26.758623442522801</c:v>
                  </c:pt>
                  <c:pt idx="2">
                    <c:v>27.279249385404899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reorganized!$C$2:$C$4</c:f>
              <c:numCache>
                <c:formatCode>General</c:formatCode>
                <c:ptCount val="3"/>
                <c:pt idx="0">
                  <c:v>73.805743493025005</c:v>
                </c:pt>
                <c:pt idx="1">
                  <c:v>71.890855151157595</c:v>
                </c:pt>
                <c:pt idx="2">
                  <c:v>69.366493733258395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05-47A1-B03E-4671CE196AC6}"/>
            </c:ext>
          </c:extLst>
        </c:ser>
        <c:ser>
          <c:idx val="2"/>
          <c:order val="2"/>
          <c:tx>
            <c:strRef>
              <c:f>reorganized!$D$1</c:f>
              <c:strCache>
                <c:ptCount val="1"/>
                <c:pt idx="0">
                  <c:v>PA intactness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reorganized!$G$2:$G$4</c:f>
                <c:numCache>
                  <c:formatCode>General</c:formatCode>
                  <c:ptCount val="3"/>
                  <c:pt idx="0">
                    <c:v>21.195315081477901</c:v>
                  </c:pt>
                  <c:pt idx="1">
                    <c:v>21.5320632582816</c:v>
                  </c:pt>
                  <c:pt idx="2">
                    <c:v>21.948736070542999</c:v>
                  </c:pt>
                </c:numCache>
              </c:numRef>
            </c:plus>
            <c:minus>
              <c:numRef>
                <c:f>reorganized!$G$2:$G$4</c:f>
                <c:numCache>
                  <c:formatCode>General</c:formatCode>
                  <c:ptCount val="3"/>
                  <c:pt idx="0">
                    <c:v>21.195315081477901</c:v>
                  </c:pt>
                  <c:pt idx="1">
                    <c:v>21.5320632582816</c:v>
                  </c:pt>
                  <c:pt idx="2">
                    <c:v>21.948736070542999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reorganized!$D$2:$D$4</c:f>
              <c:numCache>
                <c:formatCode>General</c:formatCode>
                <c:ptCount val="3"/>
                <c:pt idx="0">
                  <c:v>85.0030203062054</c:v>
                </c:pt>
                <c:pt idx="1">
                  <c:v>84.299214687961097</c:v>
                </c:pt>
                <c:pt idx="2">
                  <c:v>83.329914590523302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05-47A1-B03E-4671CE196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431344"/>
        <c:axId val="136449648"/>
      </c:barChart>
      <c:catAx>
        <c:axId val="1364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49648"/>
        <c:crosses val="autoZero"/>
        <c:auto val="1"/>
        <c:lblAlgn val="ctr"/>
        <c:lblOffset val="100"/>
        <c:noMultiLvlLbl val="0"/>
      </c:catAx>
      <c:valAx>
        <c:axId val="13644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6.0185185185185182E-2"/>
          <c:w val="0.71405751700392295"/>
          <c:h val="0.86253510284332346"/>
        </c:manualLayout>
      </c:layout>
      <c:lineChart>
        <c:grouping val="standard"/>
        <c:varyColors val="0"/>
        <c:ser>
          <c:idx val="0"/>
          <c:order val="0"/>
          <c:tx>
            <c:strRef>
              <c:f>reorganized!$B$1</c:f>
              <c:strCache>
                <c:ptCount val="1"/>
                <c:pt idx="0">
                  <c:v>National intactness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reorganized!$E$2:$E$4</c:f>
                <c:numCache>
                  <c:formatCode>General</c:formatCode>
                  <c:ptCount val="3"/>
                  <c:pt idx="0">
                    <c:v>30.599860180381501</c:v>
                  </c:pt>
                  <c:pt idx="1">
                    <c:v>30.676056084584001</c:v>
                  </c:pt>
                  <c:pt idx="2">
                    <c:v>30.658451814519299</c:v>
                  </c:pt>
                </c:numCache>
              </c:numRef>
            </c:plus>
            <c:minus>
              <c:numRef>
                <c:f>reorganized!$E$2:$E$4</c:f>
                <c:numCache>
                  <c:formatCode>General</c:formatCode>
                  <c:ptCount val="3"/>
                  <c:pt idx="0">
                    <c:v>30.599860180381501</c:v>
                  </c:pt>
                  <c:pt idx="1">
                    <c:v>30.676056084584001</c:v>
                  </c:pt>
                  <c:pt idx="2">
                    <c:v>30.658451814519299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numRef>
              <c:f>reorganized!$A$2:$A$4</c:f>
              <c:numCache>
                <c:formatCode>General</c:formatCode>
                <c:ptCount val="3"/>
                <c:pt idx="0">
                  <c:v>2005</c:v>
                </c:pt>
                <c:pt idx="1">
                  <c:v>2010</c:v>
                </c:pt>
                <c:pt idx="2">
                  <c:v>2014</c:v>
                </c:pt>
              </c:numCache>
            </c:numRef>
          </c:cat>
          <c:val>
            <c:numRef>
              <c:f>reorganized!$B$2:$B$4</c:f>
              <c:numCache>
                <c:formatCode>General</c:formatCode>
                <c:ptCount val="3"/>
                <c:pt idx="0">
                  <c:v>64.819693069607993</c:v>
                </c:pt>
                <c:pt idx="1">
                  <c:v>62.8706550428412</c:v>
                </c:pt>
                <c:pt idx="2">
                  <c:v>60.617154869126999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3F-422D-8D4A-EDAC67F9C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31344"/>
        <c:axId val="136449648"/>
      </c:lineChart>
      <c:catAx>
        <c:axId val="1364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49648"/>
        <c:crosses val="autoZero"/>
        <c:auto val="1"/>
        <c:lblAlgn val="ctr"/>
        <c:lblOffset val="100"/>
        <c:noMultiLvlLbl val="0"/>
      </c:catAx>
      <c:valAx>
        <c:axId val="13644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6.0185185185185182E-2"/>
          <c:w val="0.71405751700392295"/>
          <c:h val="0.86253510284332346"/>
        </c:manualLayout>
      </c:layout>
      <c:lineChart>
        <c:grouping val="standard"/>
        <c:varyColors val="0"/>
        <c:ser>
          <c:idx val="2"/>
          <c:order val="0"/>
          <c:tx>
            <c:strRef>
              <c:f>reorganized!$D$1</c:f>
              <c:strCache>
                <c:ptCount val="1"/>
                <c:pt idx="0">
                  <c:v>PA intactness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reorganized!$G$2:$G$4</c:f>
                <c:numCache>
                  <c:formatCode>General</c:formatCode>
                  <c:ptCount val="3"/>
                  <c:pt idx="0">
                    <c:v>21.195315081477901</c:v>
                  </c:pt>
                  <c:pt idx="1">
                    <c:v>21.5320632582816</c:v>
                  </c:pt>
                  <c:pt idx="2">
                    <c:v>21.948736070542999</c:v>
                  </c:pt>
                </c:numCache>
              </c:numRef>
            </c:plus>
            <c:minus>
              <c:numRef>
                <c:f>reorganized!$G$2:$G$4</c:f>
                <c:numCache>
                  <c:formatCode>General</c:formatCode>
                  <c:ptCount val="3"/>
                  <c:pt idx="0">
                    <c:v>21.195315081477901</c:v>
                  </c:pt>
                  <c:pt idx="1">
                    <c:v>21.5320632582816</c:v>
                  </c:pt>
                  <c:pt idx="2">
                    <c:v>21.948736070542999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65000"/>
                  </a:schemeClr>
                </a:solidFill>
                <a:round/>
              </a:ln>
              <a:effectLst/>
            </c:spPr>
          </c:errBars>
          <c:val>
            <c:numRef>
              <c:f>reorganized!$D$2:$D$4</c:f>
              <c:numCache>
                <c:formatCode>General</c:formatCode>
                <c:ptCount val="3"/>
                <c:pt idx="0">
                  <c:v>85.0030203062054</c:v>
                </c:pt>
                <c:pt idx="1">
                  <c:v>84.299214687961097</c:v>
                </c:pt>
                <c:pt idx="2">
                  <c:v>83.329914590523302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45-42DB-BD54-6CC1EE877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31344"/>
        <c:axId val="136449648"/>
      </c:lineChart>
      <c:catAx>
        <c:axId val="1364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49648"/>
        <c:crosses val="autoZero"/>
        <c:auto val="1"/>
        <c:lblAlgn val="ctr"/>
        <c:lblOffset val="100"/>
        <c:noMultiLvlLbl val="0"/>
      </c:catAx>
      <c:valAx>
        <c:axId val="13644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6.0185185185185182E-2"/>
          <c:w val="0.71405751700392295"/>
          <c:h val="0.86253510284332346"/>
        </c:manualLayout>
      </c:layout>
      <c:lineChart>
        <c:grouping val="standard"/>
        <c:varyColors val="0"/>
        <c:ser>
          <c:idx val="1"/>
          <c:order val="0"/>
          <c:tx>
            <c:strRef>
              <c:f>reorganized!$C$1</c:f>
              <c:strCache>
                <c:ptCount val="1"/>
                <c:pt idx="0">
                  <c:v>CFM intactness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reorganized!$F$2:$F$4</c:f>
                <c:numCache>
                  <c:formatCode>General</c:formatCode>
                  <c:ptCount val="3"/>
                  <c:pt idx="0">
                    <c:v>26.087972027436098</c:v>
                  </c:pt>
                  <c:pt idx="1">
                    <c:v>26.758623442522801</c:v>
                  </c:pt>
                  <c:pt idx="2">
                    <c:v>27.279249385404899</c:v>
                  </c:pt>
                </c:numCache>
              </c:numRef>
            </c:plus>
            <c:minus>
              <c:numRef>
                <c:f>reorganized!$F$2:$F$4</c:f>
                <c:numCache>
                  <c:formatCode>General</c:formatCode>
                  <c:ptCount val="3"/>
                  <c:pt idx="0">
                    <c:v>26.087972027436098</c:v>
                  </c:pt>
                  <c:pt idx="1">
                    <c:v>26.758623442522801</c:v>
                  </c:pt>
                  <c:pt idx="2">
                    <c:v>27.279249385404899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val>
            <c:numRef>
              <c:f>reorganized!$C$2:$C$4</c:f>
              <c:numCache>
                <c:formatCode>General</c:formatCode>
                <c:ptCount val="3"/>
                <c:pt idx="0">
                  <c:v>73.805743493025005</c:v>
                </c:pt>
                <c:pt idx="1">
                  <c:v>71.890855151157595</c:v>
                </c:pt>
                <c:pt idx="2">
                  <c:v>69.366493733258395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F9-47FE-82CB-EF4E11C3C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31344"/>
        <c:axId val="136449648"/>
      </c:lineChart>
      <c:catAx>
        <c:axId val="1364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49648"/>
        <c:crosses val="autoZero"/>
        <c:auto val="1"/>
        <c:lblAlgn val="ctr"/>
        <c:lblOffset val="100"/>
        <c:noMultiLvlLbl val="0"/>
      </c:catAx>
      <c:valAx>
        <c:axId val="13644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3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333374</xdr:colOff>
      <xdr:row>5</xdr:row>
      <xdr:rowOff>176212</xdr:rowOff>
    </xdr:from>
    <xdr:to>
      <xdr:col>6</xdr:col>
      <xdr:colOff>133349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9A78C-037F-4E2A-89E1-B2A9F153F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352425</xdr:colOff>
      <xdr:row>5</xdr:row>
      <xdr:rowOff>76200</xdr:rowOff>
    </xdr:from>
    <xdr:to>
      <xdr:col>15</xdr:col>
      <xdr:colOff>590550</xdr:colOff>
      <xdr:row>24</xdr:row>
      <xdr:rowOff>109538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339AB7-6857-4871-82D8-0D04A2BE1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6</xdr:col>
      <xdr:colOff>409575</xdr:colOff>
      <xdr:row>45</xdr:row>
      <xdr:rowOff>33338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C3971F-5F23-4ECB-B68B-F985D3949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17</xdr:col>
      <xdr:colOff>104775</xdr:colOff>
      <xdr:row>45</xdr:row>
      <xdr:rowOff>33338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2F0AFC1-89D0-4FCB-80E4-506816D87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G1" activeCellId="2" sqref="C1:C5 E1:E5 G1:G5"/>
    </sheetView>
  </sheetViews>
  <sheetFormatPr defaultRowHeight="15" x14ac:dyDescent="0.25"/>
  <cols>
    <col min="2" max="2" width="16.140625" bestFit="1" customWidth="1"/>
    <col min="3" max="3" width="13.140625" bestFit="1" customWidth="1"/>
    <col min="4" max="4" width="20.5703125" bestFit="1" customWidth="1"/>
    <col min="5" max="5" width="17.5703125" bestFit="1" customWidth="1"/>
    <col min="6" max="6" width="19.42578125" bestFit="1" customWidth="1"/>
    <col min="7" max="7" width="16.28515625" bestFit="1" customWidth="1"/>
  </cols>
  <sheetData>
    <row r="1" spans="1:7" x14ac:dyDescent="0.25">
      <c r="A1" t="s">
        <v>12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>
        <v>2005</v>
      </c>
      <c r="B3">
        <v>64.819693069607993</v>
      </c>
      <c r="C3">
        <v>30.599860180381501</v>
      </c>
      <c r="D3">
        <v>73.805743493025005</v>
      </c>
      <c r="E3">
        <v>26.087972027436098</v>
      </c>
      <c r="F3">
        <v>85.0030203062054</v>
      </c>
      <c r="G3">
        <v>21.195315081477901</v>
      </c>
    </row>
    <row r="4" spans="1:7" x14ac:dyDescent="0.25">
      <c r="A4">
        <v>2010</v>
      </c>
      <c r="B4">
        <v>62.8706550428412</v>
      </c>
      <c r="C4">
        <v>30.676056084584001</v>
      </c>
      <c r="D4">
        <v>71.890855151157595</v>
      </c>
      <c r="E4">
        <v>26.758623442522801</v>
      </c>
      <c r="F4">
        <v>84.299214687961097</v>
      </c>
      <c r="G4">
        <v>21.5320632582816</v>
      </c>
    </row>
    <row r="5" spans="1:7" x14ac:dyDescent="0.25">
      <c r="A5">
        <v>2014</v>
      </c>
      <c r="B5">
        <v>60.617154869126999</v>
      </c>
      <c r="C5">
        <v>30.658451814519299</v>
      </c>
      <c r="D5">
        <v>69.366493733258395</v>
      </c>
      <c r="E5">
        <v>27.279249385404899</v>
      </c>
      <c r="F5">
        <v>83.329914590523302</v>
      </c>
      <c r="G5">
        <v>21.948736070542999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abSelected="1" workbookViewId="0">
      <selection activeCell="K3" sqref="K3"/>
    </sheetView>
  </sheetViews>
  <sheetFormatPr defaultRowHeight="15" x14ac:dyDescent="0.25"/>
  <cols>
    <col min="2" max="2" width="16.140625" bestFit="1" customWidth="1"/>
    <col min="3" max="3" width="20.5703125" bestFit="1" customWidth="1"/>
    <col min="4" max="4" width="19.42578125" bestFit="1" customWidth="1"/>
    <col min="5" max="5" width="13.140625" bestFit="1" customWidth="1"/>
    <col min="6" max="6" width="17.5703125" bestFit="1" customWidth="1"/>
    <col min="7" max="7" width="16.28515625" bestFit="1" customWidth="1"/>
  </cols>
  <sheetData>
    <row r="1" spans="1:7" x14ac:dyDescent="0.25">
      <c r="A1" t="s">
        <v>12</v>
      </c>
      <c r="B1" t="s">
        <v>15</v>
      </c>
      <c r="C1" t="s">
        <v>14</v>
      </c>
      <c r="D1" t="s">
        <v>13</v>
      </c>
      <c r="E1" t="s">
        <v>7</v>
      </c>
      <c r="F1" t="s">
        <v>9</v>
      </c>
      <c r="G1" t="s">
        <v>11</v>
      </c>
    </row>
    <row r="2" spans="1:7" x14ac:dyDescent="0.25">
      <c r="A2">
        <v>2005</v>
      </c>
      <c r="B2">
        <v>64.819693069607993</v>
      </c>
      <c r="C2">
        <v>73.805743493025005</v>
      </c>
      <c r="D2">
        <v>85.0030203062054</v>
      </c>
      <c r="E2">
        <v>30.599860180381501</v>
      </c>
      <c r="F2">
        <v>26.087972027436098</v>
      </c>
      <c r="G2">
        <v>21.195315081477901</v>
      </c>
    </row>
    <row r="3" spans="1:7" x14ac:dyDescent="0.25">
      <c r="A3">
        <v>2010</v>
      </c>
      <c r="B3">
        <v>62.8706550428412</v>
      </c>
      <c r="C3">
        <v>71.890855151157595</v>
      </c>
      <c r="D3">
        <v>84.299214687961097</v>
      </c>
      <c r="E3">
        <v>30.676056084584001</v>
      </c>
      <c r="F3">
        <v>26.758623442522801</v>
      </c>
      <c r="G3">
        <v>21.5320632582816</v>
      </c>
    </row>
    <row r="4" spans="1:7" x14ac:dyDescent="0.25">
      <c r="A4">
        <v>2014</v>
      </c>
      <c r="B4">
        <v>60.617154869126999</v>
      </c>
      <c r="C4">
        <v>69.366493733258395</v>
      </c>
      <c r="D4">
        <v>83.329914590523302</v>
      </c>
      <c r="E4">
        <v>30.658451814519299</v>
      </c>
      <c r="F4">
        <v>27.279249385404899</v>
      </c>
      <c r="G4">
        <v>21.948736070542999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frag_stats_90m</vt:lpstr>
      <vt:lpstr>reorganized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N</cp:lastModifiedBy>
  <dcterms:created xsi:type="dcterms:W3CDTF">2021-08-13T21:36:39Z</dcterms:created>
  <dcterms:modified xsi:type="dcterms:W3CDTF">2021-08-17T15:54:28Z</dcterms:modified>
</cp:coreProperties>
</file>